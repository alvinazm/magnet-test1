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2026H1累计到店销售额</t>
        </is>
      </c>
      <c r="H1" t="inlineStr">
        <is>
          <t>2026H1累计门店O2O履约贡献</t>
        </is>
      </c>
      <c r="I1" t="inlineStr">
        <is>
          <t>到店坪效(元/㎡/月)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</t>
        </is>
      </c>
      <c r="M1" t="inlineStr">
        <is>
          <t>调整建议</t>
        </is>
      </c>
      <c r="N1" t="inlineStr">
        <is>
          <t>关键依据</t>
        </is>
      </c>
      <c r="O1" t="inlineStr">
        <is>
          <t>数据状态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《2026H1门店经营台账.xlsx》门店月度经营.到店销售额(1,924,251.63元);门店费用.租金及物业费(月均49,129.68元);门店基础信息.营业面积(135㎡)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《2026H1门店经营台账.xlsx》门店月度经营.到店销售额(1,515,757.78元);门店费用.租金及物业费(月均54,604.87元);门店基础信息.营业面积(85㎡)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《2026H1门店经营台账.xlsx》门店月度经营.到店销售额(2,882,989.64元);门店费用.租金及物业费(月均32,891.45元);门店基础信息.营业面积(91㎡)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《2026H1门店经营台账.xlsx》门店月度经营.到店销售额(1,156,191.88元);门店费用.租金及物业费(月均31,799.51元);门店基础信息.营业面积(96㎡)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《2026H1门店经营台账.xlsx》门店月度经营.到店销售额(1,645,163.41元);门店费用.租金及物业费(月均47,184.87元);门店基础信息.营业面积(79㎡)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《2026H1门店经营台账.xlsx》门店月度经营.到店销售额(1,847,603.58元);门店费用.租金及物业费(月均25,993.13元);门店基础信息.营业面积(81㎡)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《2026H1门店经营台账.xlsx》门店月度经营.到店销售额(1,901,982.59元);门店费用.租金及物业费(月均43,002.42元);门店基础信息.营业面积(131㎡)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《2026H1门店经营台账.xlsx》门店月度经营.到店销售额(2,742,693.84元);门店费用.租金及物业费(月均39,029.33元);门店基础信息.营业面积(77㎡)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《2026H1门店经营台账.xlsx》门店月度经营.到店销售额(1,940,174.49元);门店费用.租金及物业费(月均20,598.83元);门店基础信息.营业面积(100㎡)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《2026H1门店经营台账.xlsx》门店月度经营.到店销售额(1,886,338.69元);门店费用.租金及物业费(月均80,658.18元);门店基础信息.营业面积(145㎡)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《2026H1门店经营台账.xlsx》门店月度经营.到店销售额(2,758,310.05元);门店费用.租金及物业费(月均31,879.57元);门店基础信息.营业面积(110㎡)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《2026H1门店经营台账.xlsx》门店月度经营.到店销售额(1,104,936.58元);门店费用.租金及物业费(月均69,605.38元);门店基础信息.营业面积(93㎡);租约汇总.租期结束(2028-11-19)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《2026H1门店经营台账.xlsx》门店月度经营.到店销售额(2,266,961.33元);门店费用.租金及物业费(月均76,094.05元);门店基础信息.营业面积(185㎡)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《2026H1门店经营台账.xlsx》门店月度经营.到店销售额(1,830,697.87元);门店费用.租金及物业费(月均30,627.04元);门店基础信息.营业面积(102㎡)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《2026H1门店经营台账.xlsx》门店月度经营.到店销售额(1,898,979.10元);门店费用.租金及物业费(月均24,236.04元);门店基础信息.营业面积(128㎡)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《2026H1门店经营台账.xlsx》门店月度经营.到店销售额(2,205,711.72元);门店费用.租金及物业费(月均104,656.76元);门店基础信息.营业面积(226㎡)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《2026H1门店经营台账.xlsx》门店月度经营.到店销售额(794,338.79元);门店费用.租金及物业费(月均57,515.15元);门店基础信息.营业面积(102㎡);租约汇总.租期结束(2026-11-17)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《2026H1门店经营台账.xlsx》门店月度经营.到店销售额(3,084,297.99元);门店费用.租金及物业费(月均43,202.64元);门店基础信息.营业面积(111㎡)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《2026H1门店经营台账.xlsx》门店月度经营.到店销售额(1,903,674.85元);门店费用.租金及物业费(月均26,204.06元);门店基础信息.营业面积(94㎡)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《2026H1门店经营台账.xlsx》门店月度经营.到店销售额(2,033,382.15元);门店费用.租金及物业费(月均105,914.52元);门店基础信息.营业面积(136㎡)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《2026H1门店经营台账.xlsx》门店月度经营.到店销售额(1,140,641.96元);门店费用.租金及物业费(月均18,604.30元);门店基础信息.营业面积(81㎡)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《2026H1门店经营台账.xlsx》门店月度经营.到店销售额(1,624,796.09元);门店费用.租金及物业费(月均55,636.63元);门店基础信息.营业面积(74㎡)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《2026H1门店经营台账.xlsx》门店月度经营.到店销售额(636,656.67元);门店费用.租金及物业费(月均68,755.97元);门店基础信息.营业面积(129㎡);租约汇总.租期结束(2027-04-26)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《2026H1门店经营台账.xlsx》门店月度经营.到店销售额(1,969,342.00元);门店费用.租金及物业费(月均57,185.16元);门店基础信息.营业面积(111㎡)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《2026H1门店经营台账.xlsx》门店月度经营.到店销售额(1,155,707.98元);门店费用.租金及物业费(月均13,779.76元);门店基础信息.营业面积(72㎡)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《2026H1门店经营台账.xlsx》门店月度经营.到店销售额(1,174,517.18元);门店费用.租金及物业费(月均47,631.45元);门店基础信息.营业面积(103㎡)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《2026H1门店经营台账.xlsx》门店月度经营.到店销售额(2,999,752.68元);门店费用.租金及物业费(月均74,864.83元);门店基础信息.营业面积(102㎡)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《2026H1门店经营台账.xlsx》门店月度经营.到店销售额(2,126,302.43元);门店费用.租金及物业费(月均130,475.79元);门店基础信息.营业面积(178㎡);租约汇总.租期结束(2032-11-25)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《2026H1门店经营台账.xlsx》门店月度经营.到店销售额(811,660.23元);门店费用.租金及物业费(月均187,804.40元);门店基础信息.营业面积(251㎡);租约汇总.租期结束(2026-09-25)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《2026H1门店经营台账.xlsx》门店月度经营.到店销售额(2,083,298.29元);门店费用.租金及物业费(月均33,392.82元);门店基础信息.营业面积(126㎡)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《2026H1门店经营台账.xlsx》门店月度经营.到店销售额(1,078,094.56元);门店费用.租金及物业费(月均48,943.72元);门店基础信息.营业面积(64㎡)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《2026H1门店经营台账.xlsx》门店月度经营.到店销售额(1,703,269.89元);门店费用.租金及物业费(月均83,719.03元);门店基础信息.营业面积(135㎡)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《2026H1门店经营台账.xlsx》门店月度经营.到店销售额(2,126,380.20元);门店费用.租金及物业费(月均148,974.82元);门店基础信息.营业面积(198㎡);租约汇总.租期结束(2027-05-13)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《2026H1门店经营台账.xlsx》门店月度经营.到店销售额(800,557.76元);门店费用.租金及物业费(月均176,483.89元);门店基础信息.营业面积(231㎡);租约汇总.租期结束(2028-03-02)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《2026H1门店经营台账.xlsx》门店月度经营.到店销售额(1,618,461.29元);门店费用.租金及物业费(月均15,115.03元);门店基础信息.营业面积(70㎡)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《2026H1门店经营台账.xlsx》门店月度经营.到店销售额(1,206,445.09元);门店费用.租金及物业费(月均59,815.72元);门店基础信息.营业面积(103㎡)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《2026H1门店经营台账.xlsx》门店月度经营.到店销售额(2,097,836.45元);门店费用.租金及物业费(月均76,754.54元);门店基础信息.营业面积(129㎡)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《2026H1门店经营台账.xlsx》门店月度经营.到店销售额(1,652,896.21元);门店费用.租金及物业费(月均33,283.71元);门店基础信息.营业面积(76㎡)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《2026H1门店经营台账.xlsx》门店月度经营.到店销售额(1,785,056.94元);门店费用.租金及物业费(月均45,354.29元);门店基础信息.营业面积(118㎡)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《2026H1门店经营台账.xlsx》门店月度经营.到店销售额(1,821,262.13元);门店费用.租金及物业费(月均17,926.01元);门店基础信息.营业面积(84㎡)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《2026H1门店经营台账.xlsx》门店月度经营.到店销售额(3,468,905.55元);门店费用.租金及物业费(月均25,808.68元);门店基础信息.营业面积(111㎡)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《2026H1门店经营台账.xlsx》门店月度经营.到店销售额(1,986,525.16元);门店费用.租金及物业费(月均51,003.03元);门店基础信息.营业面积(101㎡)</t>
        </is>
      </c>
      <c r="O43" t="inlineStr">
        <is>
          <t>已确认</t>
        </is>
      </c>
    </row>
  </sheetData>
  <dataValidations count="4">
    <dataValidation sqref="K2:K200" showDropDown="0" showInputMessage="0" showErrorMessage="0" allowBlank="1" errorTitle="取值超出规定枚举" error="请使用规定枚举值" type="list">
      <formula1>"是,否"</formula1>
    </dataValidation>
    <dataValidation sqref="L2:L200" showDropDown="0" showInputMessage="0" showErrorMessage="0" allowBlank="1" errorTitle="取值超出规定枚举" error="请使用规定枚举值" type="list">
      <formula1>"A,B,C,D"</formula1>
    </dataValidation>
    <dataValidation sqref="M2:M200" showDropDown="0" showInputMessage="0" showErrorMessage="0" allowBlank="1" errorTitle="取值超出规定枚举" error="请使用规定枚举值" type="list">
      <formula1>"维持,整改,转前置仓或自提点,闭店评估"</formula1>
    </dataValidation>
    <dataValidation sqref="O2:O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门店清单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对象行数</t>
        </is>
      </c>
      <c r="B4" s="3">
        <f>COUNTA('门店清单'!A2:A43)</f>
        <v/>
      </c>
      <c r="C4" s="4" t="inlineStr">
        <is>
          <t>应为 42(全量门店)</t>
        </is>
      </c>
    </row>
    <row r="5">
      <c r="A5" s="3" t="inlineStr">
        <is>
          <t>坪效最大差异(元/㎡/月)</t>
        </is>
      </c>
      <c r="B5" s="3">
        <f>MAX(ABS('门店清单'!I2:I43-ROUND('门店清单'!G2:G43/6/'门店清单'!F2:F43,0)))</f>
        <v/>
      </c>
      <c r="C5" s="4" t="inlineStr">
        <is>
          <t>复算 = 累计到店销售额 ÷ 6 ÷ 营业面积,取整数;应 ≤ 1</t>
        </is>
      </c>
    </row>
    <row r="6">
      <c r="A6" s="3" t="inlineStr">
        <is>
          <t>分级与坪效/租售比阈值不一致家数</t>
        </is>
      </c>
      <c r="B6" s="3">
        <f>SUMPRODUCT(--('门店清单'!L2:L43&lt;&gt;IF('门店清单'!J2:J43&gt;0.35,"D",IF('门店清单'!I2:I43&gt;=5000,"A",IF('门店清单'!I2:I43&gt;=2000,"B",IF('门店清单'!I2:I43&gt;=1000,"C","D")))))</f>
        <v/>
      </c>
      <c r="C6" s="4" t="inlineStr">
        <is>
          <t>分级应 = 坪效定级,且租售比 &gt;35% 直接 D 级;应为 0</t>
        </is>
      </c>
    </row>
    <row r="7">
      <c r="A7" s="3" t="inlineStr">
        <is>
          <t>面积调整门店未标待补家数</t>
        </is>
      </c>
      <c r="B7" s="3">
        <f>SUMPRODUCT(--(('门店清单'!K2:K43="是")*('门店清单'!O2:O43&lt;&gt;"待补")))</f>
        <v/>
      </c>
      <c r="C7" s="4" t="inlineStr">
        <is>
          <t>面积调整门店的数据状态应为「待补」;应为 0</t>
        </is>
      </c>
    </row>
    <row r="8">
      <c r="A8" s="3" t="inlineStr">
        <is>
          <t>枚举违规家数(分级/调整建议/数据状态/面积是否调整)</t>
        </is>
      </c>
      <c r="B8" s="3">
        <f>SUMPRODUCT(--(ISNA(MATCH('门店清单'!L2:L43,{"A";"B";"C";"D"},0))))+SUMPRODUCT(--(ISNA(MATCH('门店清单'!M2:M43,{"维持";"整改";"转前置仓或自提点";"闭店评估"},0))))+SUMPRODUCT(--(ISNA(MATCH('门店清单'!O2:O43,{"已确认";"待补"},0))))+SUMPRODUCT(--(ISNA(MATCH('门店清单'!K2:K43,{"是";"否"},0))))</f>
        <v/>
      </c>
      <c r="C8" s="4" t="inlineStr">
        <is>
          <t>四个枚举列取值应落在规定集合内;应为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2026-09-26T01:05:20Z</dcterms:created>
  <dcterms:modified xmlns:dcterms="http://purl.org/dc/terms/" xmlns:xsi="http://www.w3.org/2001/XMLSchema-instance" xsi:type="dcterms:W3CDTF">2026-09-26T01:05:21Z</dcterms:modified>
</cp:coreProperties>
</file>