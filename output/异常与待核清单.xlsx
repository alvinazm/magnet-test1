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异常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异常编号</t>
        </is>
      </c>
      <c r="B1" t="inlineStr">
        <is>
          <t>异常类别</t>
        </is>
      </c>
      <c r="C1" t="inlineStr">
        <is>
          <t>涉及文件</t>
        </is>
      </c>
      <c r="D1" t="inlineStr">
        <is>
          <t>涉及字段</t>
        </is>
      </c>
      <c r="E1" t="inlineStr">
        <is>
          <t>问题描述</t>
        </is>
      </c>
      <c r="F1" t="inlineStr">
        <is>
          <t>影响范围</t>
        </is>
      </c>
      <c r="G1" t="inlineStr">
        <is>
          <t>严重度</t>
        </is>
      </c>
      <c r="H1" t="inlineStr">
        <is>
          <t>建议处理方式</t>
        </is>
      </c>
      <c r="I1" t="inlineStr">
        <is>
          <t>披露依据</t>
        </is>
      </c>
    </row>
    <row r="2">
      <c r="A2" t="inlineStr">
        <is>
          <t>A-001</t>
        </is>
      </c>
      <c r="B2" t="inlineStr">
        <is>
          <t>时效性</t>
        </is>
      </c>
      <c r="C2" t="inlineStr">
        <is>
          <t>旧版门店清单_2024.xlsx</t>
        </is>
      </c>
      <c r="D2" t="inlineStr">
        <is>
          <t>全部字段</t>
        </is>
      </c>
      <c r="E2" t="inlineStr">
        <is>
          <t>该附件为 2024 年门店快照(50 家),与本任务 2026H1 口径不同;其中 8 家门店在当前台账中不存在。</t>
        </is>
      </c>
      <c r="F2" t="inlineStr">
        <is>
          <t>全部门店类结论</t>
        </is>
      </c>
      <c r="G2" t="inlineStr">
        <is>
          <t>高</t>
        </is>
      </c>
      <c r="H2" t="inlineStr">
        <is>
          <t>识别为历史快照,仅作对照参考,不纳入任何计算</t>
        </is>
      </c>
      <c r="I2" t="inlineStr">
        <is>
          <t>《旧版门店清单_2024.xlsx》的文件名含 _2024;门店数 50 家 vs 当前 42 家;《渠道与门店管理策略.docx》第 5.2 条不得用外部/过期数据</t>
        </is>
      </c>
    </row>
    <row r="3">
      <c r="A3" t="inlineStr">
        <is>
          <t>A-002</t>
        </is>
      </c>
      <c r="B3" t="inlineStr">
        <is>
          <t>口径不清</t>
        </is>
      </c>
      <c r="C3" t="inlineStr">
        <is>
          <t>2026H1门店经营台账.xlsx</t>
        </is>
      </c>
      <c r="D3" t="inlineStr">
        <is>
          <t>门店基础信息.面积是否调整 / 门店月度经营.到店销售额</t>
        </is>
      </c>
      <c r="E3" t="inlineStr">
        <is>
          <t>计划期内发生面积调整的门店 3 家(S006, S013, S031),其按当前面积计算的坪效口径可能失真。</t>
        </is>
      </c>
      <c r="F3" t="inlineStr">
        <is>
          <t>3 家门店的坪效与分级结果</t>
        </is>
      </c>
      <c r="G3" t="inlineStr">
        <is>
          <t>中</t>
        </is>
      </c>
      <c r="H3" t="inlineStr">
        <is>
          <t>保留分级与建议,并在本清单披露;如需精确结论,应按调整前后的加权面积重算坪效</t>
        </is>
      </c>
      <c r="I3" t="inlineStr">
        <is>
          <t>《渠道与门店管理策略.docx》第 2.5 条;《华东区门店租约汇总.docx》备注字段</t>
        </is>
      </c>
    </row>
    <row r="4">
      <c r="A4" t="inlineStr">
        <is>
          <t>A-003</t>
        </is>
      </c>
      <c r="B4" t="inlineStr">
        <is>
          <t>口径不清</t>
        </is>
      </c>
      <c r="C4" t="inlineStr">
        <is>
          <t>2026H1门店经营台账.xlsx</t>
        </is>
      </c>
      <c r="D4" t="inlineStr">
        <is>
          <t>门店费用.租金及物业费 / 华东区门店租约汇总.月租金</t>
        </is>
      </c>
      <c r="E4" t="inlineStr">
        <is>
          <t>门店费用"租金及物业费"为合并口径(= 合同月租金 + 物业费),与租约文档单列的"月租金"不同口径。</t>
        </is>
      </c>
      <c r="F4" t="inlineStr">
        <is>
          <t>门店租售比与门店费用结构</t>
        </is>
      </c>
      <c r="G4" t="inlineStr">
        <is>
          <t>低</t>
        </is>
      </c>
      <c r="H4" t="inlineStr">
        <is>
          <t>租售比统一使用"租金及物业费"合并口径;租约文档用于合同条款(租期、违约金、递增)判断</t>
        </is>
      </c>
      <c r="I4" t="inlineStr">
        <is>
          <t>《渠道与门店管理策略.docx》第 4.4 条;本报告《数据血缘说明》第二节</t>
        </is>
      </c>
    </row>
    <row r="5">
      <c r="A5" t="inlineStr">
        <is>
          <t>A-004</t>
        </is>
      </c>
      <c r="B5" t="inlineStr">
        <is>
          <t>口径不清</t>
        </is>
      </c>
      <c r="C5" t="inlineStr">
        <is>
          <t>2026H1渠道销售明细.xlsx</t>
        </is>
      </c>
      <c r="D5" t="inlineStr">
        <is>
          <t>发货方式 / 门店ID</t>
        </is>
      </c>
      <c r="E5" t="inlineStr">
        <is>
          <t>快递订单由中心仓发货、不关联门店ID,不计入门店 O2O 履约贡献;门店发货/到店自提/即时配送订单均关联门店。</t>
        </is>
      </c>
      <c r="F5" t="inlineStr">
        <is>
          <t>门店 O2O 履约贡献与履约单量口径</t>
        </is>
      </c>
      <c r="G5" t="inlineStr">
        <is>
          <t>低</t>
        </is>
      </c>
      <c r="H5" t="inlineStr">
        <is>
          <t>按《渠道与门店管理策略.docx》第 3.3–3.6 条计算:门店履约贡献仅含"门店发货 + 到店自提"</t>
        </is>
      </c>
      <c r="I5" t="inlineStr">
        <is>
          <t>《渠道与门店管理策略.docx》第 3.3、3.4、3.6 条</t>
        </is>
      </c>
    </row>
    <row r="6">
      <c r="A6" t="inlineStr">
        <is>
          <t>A-005</t>
        </is>
      </c>
      <c r="B6" t="inlineStr">
        <is>
          <t>口径不清</t>
        </is>
      </c>
      <c r="C6" t="inlineStr">
        <is>
          <t>2026H1会员与跨渠道订单.xlsx</t>
        </is>
      </c>
      <c r="D6" t="inlineStr">
        <is>
          <t>跨渠道行为.累计消费 / 跨渠道购买渠道数</t>
        </is>
      </c>
      <c r="E6" t="inlineStr">
        <is>
          <t>会员累计消费以《2026H1会员与跨渠道订单.xlsx》会员订单 Sheet 为口径;《2026H1渠道销售明细.xlsx》渠道销售明细 Sheet 的 `会员ID` 仅用于渠道归因,不重复计入。</t>
        </is>
      </c>
      <c r="F6" t="inlineStr">
        <is>
          <t>会员分层与 Top10% 消费贡献</t>
        </is>
      </c>
      <c r="G6" t="inlineStr">
        <is>
          <t>低</t>
        </is>
      </c>
      <c r="H6" t="inlineStr">
        <is>
          <t>按《渠道与门店管理策略.docx》第 9.6 条口径统计;跨渠道购买渠道数含门店渠道</t>
        </is>
      </c>
      <c r="I6" t="inlineStr">
        <is>
          <t>《渠道与门店管理策略.docx》第 9.4、9.6 条</t>
        </is>
      </c>
    </row>
    <row r="7">
      <c r="A7" t="inlineStr">
        <is>
          <t>A-006</t>
        </is>
      </c>
      <c r="B7" t="inlineStr">
        <is>
          <t>口径不清</t>
        </is>
      </c>
      <c r="C7" t="inlineStr">
        <is>
          <t>2026H1促销活动记录.xlsx</t>
        </is>
      </c>
      <c r="D7" t="inlineStr">
        <is>
          <t>活动效果.ROI</t>
        </is>
      </c>
      <c r="E7" t="inlineStr">
        <is>
          <t>本报告自定建议动作阈值:ROI ≥2 保留、1 ≤ ROI &lt;2 调整、ROI &lt;1 取消;附件内未规定阈值。</t>
        </is>
      </c>
      <c r="F7" t="inlineStr">
        <is>
          <t>50 个促销活动的建议动作</t>
        </is>
      </c>
      <c r="G7" t="inlineStr">
        <is>
          <t>中</t>
        </is>
      </c>
      <c r="H7" t="inlineStr">
        <is>
          <t>已披露自定阈值定义方法;若管理层另有 ROI 门槛,可按新阈值重算建议动作</t>
        </is>
      </c>
      <c r="I7" t="inlineStr">
        <is>
          <t>附件内均未规定;依培训文档允许自定补充指标并披露</t>
        </is>
      </c>
    </row>
    <row r="8">
      <c r="A8" t="inlineStr">
        <is>
          <t>A-007</t>
        </is>
      </c>
      <c r="B8" t="inlineStr">
        <is>
          <t>缺失</t>
        </is>
      </c>
      <c r="C8" t="inlineStr">
        <is>
          <t>2026H1促销活动记录.xlsx</t>
        </is>
      </c>
      <c r="D8" t="inlineStr">
        <is>
          <t>活动效果</t>
        </is>
      </c>
      <c r="E8" t="inlineStr">
        <is>
          <t>活动效果仅提供活动整体 ROI,未提供分渠道/分时段的增量归因,直播类低 ROI 无法进一步拆解原因。</t>
        </is>
      </c>
      <c r="F8" t="inlineStr">
        <is>
          <t>促销类型取舍与直播策略建议</t>
        </is>
      </c>
      <c r="G8" t="inlineStr">
        <is>
          <t>中</t>
        </is>
      </c>
      <c r="H8" t="inlineStr">
        <is>
          <t>按整体 ROI 给出建议,并在报告中标注归因限制;H2 建议以实验方式验证</t>
        </is>
      </c>
      <c r="I8" t="inlineStr">
        <is>
          <t>《2026H1促销活动记录.xlsx》结构限制;《渠道与门店管理策略.docx》第 5.1 条允许披露与缩小范围</t>
        </is>
      </c>
    </row>
    <row r="9">
      <c r="A9" t="inlineStr">
        <is>
          <t>A-008</t>
        </is>
      </c>
      <c r="B9" t="inlineStr">
        <is>
          <t>缺失</t>
        </is>
      </c>
      <c r="C9" t="inlineStr">
        <is>
          <t>2026H1门店经营台账.xlsx</t>
        </is>
      </c>
      <c r="D9" t="inlineStr">
        <is>
          <t>门店库存.品类</t>
        </is>
      </c>
      <c r="E9" t="inlineStr">
        <is>
          <t>库存数据仅到门店-品类-月粒度,未提供 SKU 级库存与滞销明细。</t>
        </is>
      </c>
      <c r="F9" t="inlineStr">
        <is>
          <t>SKU 级库存与蚕食分析</t>
        </is>
      </c>
      <c r="G9" t="inlineStr">
        <is>
          <t>低</t>
        </is>
      </c>
      <c r="H9" t="inlineStr">
        <is>
          <t>结论仅到品类级,不作 SKU 级推断</t>
        </is>
      </c>
      <c r="I9" t="inlineStr">
        <is>
          <t>《2026H1促销活动记录.xlsx》结构限制</t>
        </is>
      </c>
    </row>
    <row r="10">
      <c r="A10" t="inlineStr">
        <is>
          <t>A-009</t>
        </is>
      </c>
      <c r="B10" t="inlineStr">
        <is>
          <t>越界</t>
        </is>
      </c>
      <c r="C10" t="inlineStr">
        <is>
          <t>2026H1渠道销售明细.xlsx / 2026H1会员与跨渠道订单.xlsx</t>
        </is>
      </c>
      <c r="D10" t="inlineStr">
        <is>
          <t>会员ID / 订单号</t>
        </is>
      </c>
      <c r="E10" t="inlineStr">
        <is>
          <t>渠道订单与会员订单为两套编号(O100000–O107499 / O800000–O805999),不可按订单号合并;渠道订单中约 55% 未关联会员ID。</t>
        </is>
      </c>
      <c r="F10" t="inlineStr">
        <is>
          <t>会员与渠道交叉分析的范围</t>
        </is>
      </c>
      <c r="G10" t="inlineStr">
        <is>
          <t>低</t>
        </is>
      </c>
      <c r="H10" t="inlineStr">
        <is>
          <t>会员维度分析以《2026H1会员与跨渠道订单.xlsx》会员订单 Sheet、跨渠道行为 Sheet 为准,渠道订单仅用于渠道侧指标</t>
        </is>
      </c>
      <c r="I10" t="inlineStr">
        <is>
          <t>《2026H1渠道销售明细.xlsx》与《2026H1会员与跨渠道订单.xlsx》的编号规则;《渠道与门店管理策略.docx》第 9.6 条</t>
        </is>
      </c>
    </row>
    <row r="11">
      <c r="A11" t="inlineStr">
        <is>
          <t>A-010</t>
        </is>
      </c>
      <c r="B11" t="inlineStr">
        <is>
          <t>缺失</t>
        </is>
      </c>
      <c r="C11" t="inlineStr">
        <is>
          <t>2026H1渠道销售明细.xlsx</t>
        </is>
      </c>
      <c r="D11" t="inlineStr">
        <is>
          <t>数据期间</t>
        </is>
      </c>
      <c r="E11" t="inlineStr">
        <is>
          <t>数据仅覆盖 2026H1(6 个月),无历史同期与更长周期数据,无法进行季节性、年度趋势或生命周期类分析。</t>
        </is>
      </c>
      <c r="F11" t="inlineStr">
        <is>
          <t>H2 预测与趋势判断</t>
        </is>
      </c>
      <c r="G11" t="inlineStr">
        <is>
          <t>中</t>
        </is>
      </c>
      <c r="H11" t="inlineStr">
        <is>
          <t>H2 目标以 H1 实际水平为基准并标注为估算;不做跨年趋势结论</t>
        </is>
      </c>
      <c r="I11" t="inlineStr">
        <is>
          <t>《2026H1门店经营台账.xlsx》数据粒度限制;《渠道与门店管理策略.docx》第 5.1 条</t>
        </is>
      </c>
    </row>
  </sheetData>
  <dataValidations count="2">
    <dataValidation sqref="B2:B11" showDropDown="0" showInputMessage="0" showErrorMessage="0" allowBlank="1" errorTitle="取值超出规定枚举" error="请使用规定枚举值" type="list">
      <formula1>"数据冲突,口径不清,缺失,越界,时效性"</formula1>
    </dataValidation>
    <dataValidation sqref="G2:G11" showDropDown="0" showInputMessage="0" showErrorMessage="0" allowBlank="1" errorTitle="取值超出规定枚举" error="请使用规定枚举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异常清单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异常条数</t>
        </is>
      </c>
      <c r="B4" s="3">
        <f>COUNTA('异常清单'!A2:A100)</f>
        <v/>
      </c>
      <c r="C4" s="4" t="inlineStr">
        <is>
          <t>材料自检范围内的异常条目数</t>
        </is>
      </c>
    </row>
    <row r="5">
      <c r="A5" s="3" t="inlineStr">
        <is>
          <t>异常编号唯一</t>
        </is>
      </c>
      <c r="B5" s="3">
        <f>IF(COUNTA('异常清单'!A2:A100)=SUMPRODUCT(1/COUNTIF('异常清单'!A2:A100,'异常清单'!A2:A100)),"唯一","重复")</f>
        <v/>
      </c>
      <c r="C5" s="4" t="inlineStr">
        <is>
          <t>异常编号应唯一;显示「唯一」</t>
        </is>
      </c>
    </row>
    <row r="6">
      <c r="A6" s="3" t="inlineStr">
        <is>
          <t>枚举违规条数(异常类别/严重度)</t>
        </is>
      </c>
      <c r="B6" s="3">
        <f>SUMPRODUCT(--(ISNA(MATCH('异常清单'!B2:B100,{"数据冲突";"口径不清";"缺失";"越界";"时效性"},0))))+SUMPRODUCT(--(ISNA(MATCH('异常清单'!G2:G100,{"高";"中";"低"},0))))</f>
        <v/>
      </c>
      <c r="C6" s="4" t="inlineStr">
        <is>
          <t>异常类别与严重度取值应落在规定集合内;应为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2026-09-26T00:49:55Z</dcterms:created>
  <dcterms:modified xmlns:dcterms="http://purl.org/dc/terms/" xmlns:xsi="http://www.w3.org/2001/XMLSchema-instance" xsi:type="dcterms:W3CDTF">2026-09-26T00:49:55Z</dcterms:modified>
</cp:coreProperties>
</file>